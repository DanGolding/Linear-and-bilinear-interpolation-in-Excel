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a\Desktop\Dan\Linear and bilinear interpolation in Excel\"/>
    </mc:Choice>
  </mc:AlternateContent>
  <bookViews>
    <workbookView xWindow="0" yWindow="0" windowWidth="16392" windowHeight="6564" activeTab="1"/>
  </bookViews>
  <sheets>
    <sheet name="Linear Interpolation Example" sheetId="1" r:id="rId1"/>
    <sheet name="Bilinear Interpolation Example" sheetId="2" r:id="rId2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2" l="1"/>
  <c r="F8" i="2" s="1"/>
  <c r="F9" i="2" s="1"/>
  <c r="F10" i="2" s="1"/>
  <c r="F11" i="2" s="1"/>
  <c r="F12" i="2" s="1"/>
  <c r="F13" i="2" s="1"/>
  <c r="H5" i="2"/>
  <c r="I5" i="2" s="1"/>
  <c r="J5" i="2" s="1"/>
  <c r="K5" i="2" s="1"/>
  <c r="L5" i="2" s="1"/>
  <c r="M5" i="2" s="1"/>
  <c r="N5" i="2" s="1"/>
  <c r="C4" i="1"/>
  <c r="C5" i="1" s="1"/>
  <c r="C6" i="1" s="1"/>
  <c r="C7" i="1" s="1"/>
  <c r="C8" i="1" s="1"/>
  <c r="C9" i="1" s="1"/>
  <c r="C10" i="1" s="1"/>
  <c r="C11" i="1" s="1"/>
  <c r="C12" i="1" s="1"/>
  <c r="C13" i="1" s="1"/>
  <c r="M7" i="2"/>
  <c r="M11" i="2"/>
  <c r="M10" i="2"/>
  <c r="M8" i="2"/>
  <c r="M12" i="2"/>
  <c r="M14" i="2"/>
  <c r="M9" i="2"/>
  <c r="M13" i="2"/>
  <c r="N7" i="2"/>
  <c r="N9" i="2"/>
  <c r="N11" i="2"/>
  <c r="N13" i="2"/>
  <c r="O10" i="2"/>
  <c r="O7" i="2"/>
  <c r="O9" i="2"/>
  <c r="O11" i="2"/>
  <c r="O13" i="2"/>
  <c r="O12" i="2"/>
  <c r="O14" i="2"/>
  <c r="N8" i="2"/>
  <c r="N10" i="2"/>
  <c r="N12" i="2"/>
  <c r="N14" i="2"/>
  <c r="O8" i="2"/>
  <c r="O6" i="2"/>
  <c r="N6" i="2"/>
  <c r="M6" i="2"/>
  <c r="L14" i="2"/>
  <c r="L13" i="2"/>
  <c r="L12" i="2"/>
  <c r="L11" i="2"/>
  <c r="L10" i="2"/>
  <c r="L9" i="2"/>
  <c r="L8" i="2"/>
  <c r="L7" i="2"/>
  <c r="L6" i="2"/>
  <c r="K14" i="2"/>
  <c r="K13" i="2"/>
  <c r="K12" i="2"/>
  <c r="K11" i="2"/>
  <c r="K10" i="2"/>
  <c r="K9" i="2"/>
  <c r="K8" i="2"/>
  <c r="K7" i="2"/>
  <c r="K6" i="2"/>
  <c r="J14" i="2"/>
  <c r="J13" i="2"/>
  <c r="J12" i="2"/>
  <c r="J11" i="2"/>
  <c r="J10" i="2"/>
  <c r="J9" i="2"/>
  <c r="J8" i="2"/>
  <c r="J7" i="2"/>
  <c r="J6" i="2"/>
  <c r="I14" i="2"/>
  <c r="I13" i="2"/>
  <c r="I12" i="2"/>
  <c r="I11" i="2"/>
  <c r="I10" i="2"/>
  <c r="I9" i="2"/>
  <c r="I8" i="2"/>
  <c r="I7" i="2"/>
  <c r="I6" i="2"/>
  <c r="H14" i="2"/>
  <c r="H13" i="2"/>
  <c r="H12" i="2"/>
  <c r="H11" i="2"/>
  <c r="H10" i="2"/>
  <c r="H9" i="2"/>
  <c r="H8" i="2"/>
  <c r="H7" i="2"/>
  <c r="H6" i="2"/>
  <c r="G14" i="2"/>
  <c r="G13" i="2"/>
  <c r="G12" i="2"/>
  <c r="G11" i="2"/>
  <c r="G10" i="2"/>
  <c r="G9" i="2"/>
  <c r="G8" i="2"/>
  <c r="G7" i="2"/>
  <c r="G6" i="2"/>
  <c r="D4" i="1"/>
  <c r="D8" i="1"/>
  <c r="D12" i="1"/>
  <c r="D13" i="1"/>
  <c r="D5" i="1"/>
  <c r="D9" i="1"/>
  <c r="D11" i="1"/>
  <c r="D6" i="1"/>
  <c r="D10" i="1"/>
  <c r="D7" i="1"/>
  <c r="D3" i="1"/>
</calcChain>
</file>

<file path=xl/sharedStrings.xml><?xml version="1.0" encoding="utf-8"?>
<sst xmlns="http://schemas.openxmlformats.org/spreadsheetml/2006/main" count="8" uniqueCount="6">
  <si>
    <t>X</t>
  </si>
  <si>
    <t>Y</t>
  </si>
  <si>
    <t>xi</t>
  </si>
  <si>
    <t>yi</t>
  </si>
  <si>
    <t>Original Data</t>
  </si>
  <si>
    <t>Interpolated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</si>
</sst>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1" fillId="0" borderId="0" xfId="0" applyFont="1"/>
    <xf numFmtId="0" fontId="4" fillId="4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5" fillId="23" borderId="0" xfId="0" applyFont="1" applyFill="1" applyAlignment="1">
      <alignment horizontal="center" vertical="center"/>
    </xf>
    <xf numFmtId="0" fontId="5" fillId="24" borderId="0" xfId="0" applyFont="1" applyFill="1" applyAlignment="1">
      <alignment horizontal="center" vertical="center"/>
    </xf>
    <xf numFmtId="0" fontId="5" fillId="25" borderId="0" xfId="0" applyFont="1" applyFill="1" applyAlignment="1">
      <alignment horizontal="center" vertical="center"/>
    </xf>
    <xf numFmtId="0" fontId="5" fillId="26" borderId="0" xfId="0" applyFont="1" applyFill="1" applyAlignment="1">
      <alignment horizontal="center" vertical="center"/>
    </xf>
    <xf numFmtId="0" fontId="5" fillId="27" borderId="0" xfId="0" applyFont="1" applyFill="1" applyAlignment="1">
      <alignment horizontal="center" vertical="center"/>
    </xf>
    <xf numFmtId="0" fontId="5" fillId="28" borderId="0" xfId="0" applyFont="1" applyFill="1" applyAlignment="1">
      <alignment horizontal="center" vertical="center"/>
    </xf>
    <xf numFmtId="0" fontId="5" fillId="29" borderId="0" xfId="0" applyFont="1" applyFill="1" applyAlignment="1">
      <alignment horizontal="center" vertical="center"/>
    </xf>
    <xf numFmtId="0" fontId="5" fillId="30" borderId="0" xfId="0" applyFont="1" applyFill="1" applyAlignment="1">
      <alignment horizontal="center" vertical="center"/>
    </xf>
    <xf numFmtId="0" fontId="5" fillId="31" borderId="0" xfId="0" applyFont="1" applyFill="1" applyAlignment="1">
      <alignment horizontal="center" vertical="center"/>
    </xf>
    <xf numFmtId="0" fontId="5" fillId="32" borderId="0" xfId="0" applyFont="1" applyFill="1" applyAlignment="1">
      <alignment horizontal="center" vertical="center"/>
    </xf>
    <xf numFmtId="2" fontId="2" fillId="0" borderId="0" xfId="0" applyNumberFormat="1" applyFont="1"/>
    <xf numFmtId="2" fontId="6" fillId="0" borderId="0" xfId="0" applyNumberFormat="1" applyFont="1"/>
    <xf numFmtId="0" fontId="1" fillId="0" borderId="1" xfId="0" applyFont="1" applyBorder="1" applyAlignment="1">
      <alignment horizontal="right"/>
    </xf>
    <xf numFmtId="0" fontId="7" fillId="0" borderId="0" xfId="0" applyFont="1"/>
    <xf numFmtId="2" fontId="7" fillId="0" borderId="0" xfId="0" applyNumberFormat="1" applyFont="1"/>
  </cellXfs>
  <cellStyles count="1">
    <cellStyle name="Normal" xfId="0" builtinId="0"/>
  </cellStyles>
  <dxfs count="7">
    <dxf>
      <font>
        <color theme="1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Interpolated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'Linear Interpolation Example'!$C$3:$C$13</c:f>
              <c:numCache>
                <c:formatCode>General</c:formatCode>
                <c:ptCount val="11"/>
                <c:pt idx="0">
                  <c:v>-4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</c:numCache>
            </c:numRef>
          </c:xVal>
          <c:yVal>
            <c:numRef>
              <c:f>'Linear Interpolation Example'!$D$3:$D$13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2.6666666666666665</c:v>
                </c:pt>
                <c:pt idx="6">
                  <c:v>0.33333333333333331</c:v>
                </c:pt>
                <c:pt idx="7">
                  <c:v>-2</c:v>
                </c:pt>
                <c:pt idx="8">
                  <c:v>-3</c:v>
                </c:pt>
                <c:pt idx="9">
                  <c:v>-4</c:v>
                </c:pt>
                <c:pt idx="1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6C-4E3E-A678-1F976B7F1930}"/>
            </c:ext>
          </c:extLst>
        </c:ser>
        <c:ser>
          <c:idx val="0"/>
          <c:order val="1"/>
          <c:tx>
            <c:v>Original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'Linear Interpolation Example'!$A$3:$A$6</c:f>
              <c:numCache>
                <c:formatCode>General</c:formatCode>
                <c:ptCount val="4"/>
                <c:pt idx="0">
                  <c:v>-5</c:v>
                </c:pt>
                <c:pt idx="1">
                  <c:v>0</c:v>
                </c:pt>
                <c:pt idx="2">
                  <c:v>3</c:v>
                </c:pt>
                <c:pt idx="3">
                  <c:v>7</c:v>
                </c:pt>
              </c:numCache>
            </c:numRef>
          </c:xVal>
          <c:yVal>
            <c:numRef>
              <c:f>'Linear Interpolation Example'!$B$3:$B$6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-2</c:v>
                </c:pt>
                <c:pt idx="3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6C-4E3E-A678-1F976B7F1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90232"/>
        <c:axId val="307191872"/>
      </c:scatterChart>
      <c:valAx>
        <c:axId val="30719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91872"/>
        <c:crossesAt val="-1000"/>
        <c:crossBetween val="midCat"/>
      </c:valAx>
      <c:valAx>
        <c:axId val="3071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90232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281367-3FB4-4EEA-9AB2-0762027A6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</xdr:colOff>
      <xdr:row>0</xdr:row>
      <xdr:rowOff>0</xdr:rowOff>
    </xdr:from>
    <xdr:ext cx="3124958" cy="60901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DCD0ABB-7D2B-4E40-8959-A8BD693686D6}"/>
            </a:ext>
          </a:extLst>
        </xdr:cNvPr>
        <xdr:cNvSpPr txBox="1"/>
      </xdr:nvSpPr>
      <xdr:spPr>
        <a:xfrm>
          <a:off x="22860" y="0"/>
          <a:ext cx="3124958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Visual</a:t>
          </a:r>
          <a:r>
            <a:rPr lang="en-ZA" sz="1100" baseline="0"/>
            <a:t> d</a:t>
          </a:r>
          <a:r>
            <a:rPr lang="en-ZA" sz="1100"/>
            <a:t>emonstration of bilinear</a:t>
          </a:r>
          <a:r>
            <a:rPr lang="en-ZA" sz="1100" baseline="0"/>
            <a:t> interpolation. </a:t>
          </a:r>
        </a:p>
        <a:p>
          <a:r>
            <a:rPr lang="en-ZA" sz="1100" baseline="0"/>
            <a:t>Change the values in the original data grid (B6:D8). </a:t>
          </a:r>
        </a:p>
        <a:p>
          <a:r>
            <a:rPr lang="en-ZA" sz="1100" baseline="0"/>
            <a:t>The interp2 function is called in the cells G6:O14.</a:t>
          </a:r>
          <a:endParaRPr lang="en-Z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showGridLines="0" workbookViewId="0"/>
  </sheetViews>
  <sheetFormatPr defaultRowHeight="14.4" x14ac:dyDescent="0.3"/>
  <cols>
    <col min="5" max="5" width="4.5546875" customWidth="1"/>
  </cols>
  <sheetData>
    <row r="1" spans="1:4" x14ac:dyDescent="0.3">
      <c r="A1" s="4" t="s">
        <v>4</v>
      </c>
      <c r="B1" s="4"/>
      <c r="C1" s="4" t="s">
        <v>5</v>
      </c>
      <c r="D1" s="4"/>
    </row>
    <row r="2" spans="1:4" x14ac:dyDescent="0.3">
      <c r="A2" s="37" t="s">
        <v>0</v>
      </c>
      <c r="B2" s="37" t="s">
        <v>1</v>
      </c>
      <c r="C2" s="37" t="s">
        <v>2</v>
      </c>
      <c r="D2" s="37" t="s">
        <v>3</v>
      </c>
    </row>
    <row r="3" spans="1:4" x14ac:dyDescent="0.3">
      <c r="A3" s="1">
        <v>-5</v>
      </c>
      <c r="B3" s="1">
        <v>0</v>
      </c>
      <c r="C3" s="2">
        <v>-4</v>
      </c>
      <c r="D3" s="3">
        <f>Interp1($A$3:$A$6,$B$3:$B$6,C3)</f>
        <v>1</v>
      </c>
    </row>
    <row r="4" spans="1:4" x14ac:dyDescent="0.3">
      <c r="A4" s="1">
        <v>0</v>
      </c>
      <c r="B4" s="1">
        <v>5</v>
      </c>
      <c r="C4" s="2">
        <f>C3+1</f>
        <v>-3</v>
      </c>
      <c r="D4" s="3">
        <f t="shared" ref="D4:D13" si="0">Interp1($A$3:$A$6,$B$3:$B$6,C4)</f>
        <v>2</v>
      </c>
    </row>
    <row r="5" spans="1:4" x14ac:dyDescent="0.3">
      <c r="A5" s="1">
        <v>3</v>
      </c>
      <c r="B5" s="1">
        <v>-2</v>
      </c>
      <c r="C5" s="2">
        <f t="shared" ref="C5:C13" si="1">C4+1</f>
        <v>-2</v>
      </c>
      <c r="D5" s="3">
        <f t="shared" si="0"/>
        <v>3</v>
      </c>
    </row>
    <row r="6" spans="1:4" x14ac:dyDescent="0.3">
      <c r="A6" s="1">
        <v>7</v>
      </c>
      <c r="B6" s="1">
        <v>-6</v>
      </c>
      <c r="C6" s="2">
        <f t="shared" si="1"/>
        <v>-1</v>
      </c>
      <c r="D6" s="3">
        <f t="shared" si="0"/>
        <v>4</v>
      </c>
    </row>
    <row r="7" spans="1:4" x14ac:dyDescent="0.3">
      <c r="C7" s="2">
        <f t="shared" si="1"/>
        <v>0</v>
      </c>
      <c r="D7" s="3">
        <f t="shared" si="0"/>
        <v>5</v>
      </c>
    </row>
    <row r="8" spans="1:4" x14ac:dyDescent="0.3">
      <c r="C8" s="2">
        <f t="shared" si="1"/>
        <v>1</v>
      </c>
      <c r="D8" s="3">
        <f t="shared" si="0"/>
        <v>2.6666666666666665</v>
      </c>
    </row>
    <row r="9" spans="1:4" x14ac:dyDescent="0.3">
      <c r="C9" s="2">
        <f t="shared" si="1"/>
        <v>2</v>
      </c>
      <c r="D9" s="3">
        <f t="shared" si="0"/>
        <v>0.33333333333333331</v>
      </c>
    </row>
    <row r="10" spans="1:4" x14ac:dyDescent="0.3">
      <c r="C10" s="2">
        <f t="shared" si="1"/>
        <v>3</v>
      </c>
      <c r="D10" s="3">
        <f t="shared" si="0"/>
        <v>-2</v>
      </c>
    </row>
    <row r="11" spans="1:4" x14ac:dyDescent="0.3">
      <c r="C11" s="2">
        <f t="shared" si="1"/>
        <v>4</v>
      </c>
      <c r="D11" s="3">
        <f t="shared" si="0"/>
        <v>-3</v>
      </c>
    </row>
    <row r="12" spans="1:4" x14ac:dyDescent="0.3">
      <c r="C12" s="2">
        <f t="shared" si="1"/>
        <v>5</v>
      </c>
      <c r="D12" s="3">
        <f t="shared" si="0"/>
        <v>-4</v>
      </c>
    </row>
    <row r="13" spans="1:4" x14ac:dyDescent="0.3">
      <c r="C13" s="2">
        <f t="shared" si="1"/>
        <v>6</v>
      </c>
      <c r="D13" s="3">
        <f t="shared" si="0"/>
        <v>-5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O14"/>
  <sheetViews>
    <sheetView showGridLines="0" tabSelected="1" workbookViewId="0"/>
  </sheetViews>
  <sheetFormatPr defaultRowHeight="14.4" x14ac:dyDescent="0.3"/>
  <cols>
    <col min="1" max="1" width="8.88671875" style="1"/>
    <col min="2" max="4" width="4.44140625" customWidth="1"/>
    <col min="6" max="6" width="4.44140625" style="1" customWidth="1"/>
    <col min="7" max="15" width="4.44140625" customWidth="1"/>
  </cols>
  <sheetData>
    <row r="4" spans="1:15" s="4" customFormat="1" x14ac:dyDescent="0.3">
      <c r="B4" s="4" t="s">
        <v>4</v>
      </c>
      <c r="F4" s="4" t="s">
        <v>5</v>
      </c>
    </row>
    <row r="5" spans="1:15" s="1" customFormat="1" ht="24" customHeight="1" x14ac:dyDescent="0.3">
      <c r="B5" s="38">
        <v>1</v>
      </c>
      <c r="C5" s="38">
        <v>2</v>
      </c>
      <c r="D5" s="38">
        <v>3</v>
      </c>
      <c r="F5" s="35"/>
      <c r="G5" s="39">
        <v>1</v>
      </c>
      <c r="H5" s="36">
        <f t="shared" ref="H5:N5" si="0">G5+0.25</f>
        <v>1.25</v>
      </c>
      <c r="I5" s="36">
        <f t="shared" si="0"/>
        <v>1.5</v>
      </c>
      <c r="J5" s="36">
        <f t="shared" si="0"/>
        <v>1.75</v>
      </c>
      <c r="K5" s="39">
        <f t="shared" si="0"/>
        <v>2</v>
      </c>
      <c r="L5" s="36">
        <f t="shared" si="0"/>
        <v>2.25</v>
      </c>
      <c r="M5" s="36">
        <f t="shared" si="0"/>
        <v>2.5</v>
      </c>
      <c r="N5" s="36">
        <f t="shared" si="0"/>
        <v>2.75</v>
      </c>
      <c r="O5" s="39">
        <v>3</v>
      </c>
    </row>
    <row r="6" spans="1:15" ht="24" customHeight="1" x14ac:dyDescent="0.3">
      <c r="A6" s="38">
        <v>1</v>
      </c>
      <c r="B6" s="7">
        <v>0</v>
      </c>
      <c r="C6" s="8">
        <v>128</v>
      </c>
      <c r="D6" s="9">
        <v>0</v>
      </c>
      <c r="F6" s="39">
        <v>1</v>
      </c>
      <c r="G6" s="7">
        <f>interp2($A$6:$A$8,$B$5:$D$5,$B$6:$D$8,$F6,G$5)</f>
        <v>0</v>
      </c>
      <c r="H6" s="18">
        <f>interp2($A$6:$A$8,$B$5:$D$5,$B$6:$D$8,$F6,H$5)</f>
        <v>32</v>
      </c>
      <c r="I6" s="11">
        <f>interp2($A$6:$A$8,$B$5:$D$5,$B$6:$D$8,$F6,I$5)</f>
        <v>64</v>
      </c>
      <c r="J6" s="25">
        <f>interp2($A$6:$A$8,$B$5:$D$5,$B$6:$D$8,$F6,J$5)</f>
        <v>96</v>
      </c>
      <c r="K6" s="8">
        <f>interp2($A$6:$A$8,$B$5:$D$5,$B$6:$D$8,$F6,K$5)</f>
        <v>128</v>
      </c>
      <c r="L6" s="32">
        <f>interp2($A$6:$A$8,$B$5:$D$5,$B$6:$D$8,$F6,L$5)</f>
        <v>96</v>
      </c>
      <c r="M6" s="33">
        <f>interp2($A$6:$A$8,$B$5:$D$5,$B$6:$D$8,$F6,M$5)</f>
        <v>64</v>
      </c>
      <c r="N6" s="34">
        <f>interp2($A$6:$A$8,$B$5:$D$5,$B$6:$D$8,$F6,N$5)</f>
        <v>32</v>
      </c>
      <c r="O6" s="34">
        <f>interp2($A$6:$A$8,$B$5:$D$5,$B$6:$D$8,$F6,O$5)</f>
        <v>0</v>
      </c>
    </row>
    <row r="7" spans="1:15" ht="24" customHeight="1" x14ac:dyDescent="0.3">
      <c r="A7" s="38">
        <v>2</v>
      </c>
      <c r="B7" s="10">
        <v>128</v>
      </c>
      <c r="C7" s="9">
        <v>255</v>
      </c>
      <c r="D7" s="10">
        <v>128</v>
      </c>
      <c r="F7" s="36">
        <f t="shared" ref="F7:F14" si="1">F6+0.25</f>
        <v>1.25</v>
      </c>
      <c r="G7" s="12">
        <f>interp2($A$6:$A$8,$B$5:$D$5,$B$6:$D$8,$F7,G$5)</f>
        <v>32</v>
      </c>
      <c r="H7" s="19">
        <f>interp2($A$6:$A$8,$B$5:$D$5,$B$6:$D$8,$F7,H$5)</f>
        <v>63.9375</v>
      </c>
      <c r="I7" s="11">
        <f>interp2($A$6:$A$8,$B$5:$D$5,$B$6:$D$8,$F7,I$5)</f>
        <v>95.875</v>
      </c>
      <c r="J7" s="26">
        <f>interp2($A$6:$A$8,$B$5:$D$5,$B$6:$D$8,$F7,J$5)</f>
        <v>127.8125</v>
      </c>
      <c r="K7" s="32">
        <f>interp2($A$6:$A$8,$B$5:$D$5,$B$6:$D$8,$F7,K$5)</f>
        <v>159.75</v>
      </c>
      <c r="L7" s="32">
        <f>interp2($A$6:$A$8,$B$5:$D$5,$B$6:$D$8,$F7,L$5)</f>
        <v>127.8125</v>
      </c>
      <c r="M7" s="33">
        <f t="shared" ref="M7:M14" si="2">interp2($A$6:$A$8,$B$5:$D$5,$B$6:$D$8,$F7,M$5)</f>
        <v>95.875</v>
      </c>
      <c r="N7" s="34">
        <f t="shared" ref="N7:O14" si="3">interp2($A$6:$A$8,$B$5:$D$5,$B$6:$D$8,$F7,N$5)</f>
        <v>63.9375</v>
      </c>
      <c r="O7" s="34">
        <f t="shared" si="3"/>
        <v>32</v>
      </c>
    </row>
    <row r="8" spans="1:15" ht="24" customHeight="1" x14ac:dyDescent="0.3">
      <c r="A8" s="38">
        <v>3</v>
      </c>
      <c r="B8" s="5">
        <v>0</v>
      </c>
      <c r="C8" s="8">
        <v>128</v>
      </c>
      <c r="D8" s="7">
        <v>0</v>
      </c>
      <c r="F8" s="36">
        <f t="shared" si="1"/>
        <v>1.5</v>
      </c>
      <c r="G8" s="13">
        <f>interp2($A$6:$A$8,$B$5:$D$5,$B$6:$D$8,$F8,G$5)</f>
        <v>64</v>
      </c>
      <c r="H8" s="7">
        <f>interp2($A$6:$A$8,$B$5:$D$5,$B$6:$D$8,$F8,H$5)</f>
        <v>95.875</v>
      </c>
      <c r="I8" s="11">
        <f>interp2($A$6:$A$8,$B$5:$D$5,$B$6:$D$8,$F8,I$5)</f>
        <v>127.75</v>
      </c>
      <c r="J8" s="27">
        <f>interp2($A$6:$A$8,$B$5:$D$5,$B$6:$D$8,$F8,J$5)</f>
        <v>159.625</v>
      </c>
      <c r="K8" s="33">
        <f>interp2($A$6:$A$8,$B$5:$D$5,$B$6:$D$8,$F8,K$5)</f>
        <v>191.5</v>
      </c>
      <c r="L8" s="29">
        <f>interp2($A$6:$A$8,$B$5:$D$5,$B$6:$D$8,$F8,L$5)</f>
        <v>159.625</v>
      </c>
      <c r="M8" s="33">
        <f t="shared" si="2"/>
        <v>127.75</v>
      </c>
      <c r="N8" s="34">
        <f t="shared" si="3"/>
        <v>95.875</v>
      </c>
      <c r="O8" s="34">
        <f t="shared" si="3"/>
        <v>64</v>
      </c>
    </row>
    <row r="9" spans="1:15" ht="24" customHeight="1" x14ac:dyDescent="0.3">
      <c r="F9" s="36">
        <f t="shared" si="1"/>
        <v>1.75</v>
      </c>
      <c r="G9" s="14">
        <f>interp2($A$6:$A$8,$B$5:$D$5,$B$6:$D$8,$F9,G$5)</f>
        <v>96</v>
      </c>
      <c r="H9" s="20">
        <f>interp2($A$6:$A$8,$B$5:$D$5,$B$6:$D$8,$F9,H$5)</f>
        <v>127.8125</v>
      </c>
      <c r="I9" s="11">
        <f>interp2($A$6:$A$8,$B$5:$D$5,$B$6:$D$8,$F9,I$5)</f>
        <v>159.625</v>
      </c>
      <c r="J9" s="28">
        <f>interp2($A$6:$A$8,$B$5:$D$5,$B$6:$D$8,$F9,J$5)</f>
        <v>191.4375</v>
      </c>
      <c r="K9" s="34">
        <f>interp2($A$6:$A$8,$B$5:$D$5,$B$6:$D$8,$F9,K$5)</f>
        <v>223.25</v>
      </c>
      <c r="L9" s="29">
        <f>interp2($A$6:$A$8,$B$5:$D$5,$B$6:$D$8,$F9,L$5)</f>
        <v>191.4375</v>
      </c>
      <c r="M9" s="33">
        <f t="shared" si="2"/>
        <v>159.625</v>
      </c>
      <c r="N9" s="34">
        <f t="shared" si="3"/>
        <v>127.8125</v>
      </c>
      <c r="O9" s="34">
        <f t="shared" si="3"/>
        <v>96</v>
      </c>
    </row>
    <row r="10" spans="1:15" ht="24" customHeight="1" x14ac:dyDescent="0.3">
      <c r="F10" s="39">
        <f t="shared" si="1"/>
        <v>2</v>
      </c>
      <c r="G10" s="10">
        <f>interp2($A$6:$A$8,$B$5:$D$5,$B$6:$D$8,$F10,G$5)</f>
        <v>128</v>
      </c>
      <c r="H10" s="12">
        <f>interp2($A$6:$A$8,$B$5:$D$5,$B$6:$D$8,$F10,H$5)</f>
        <v>159.75</v>
      </c>
      <c r="I10" s="21">
        <f>interp2($A$6:$A$8,$B$5:$D$5,$B$6:$D$8,$F10,I$5)</f>
        <v>191.5</v>
      </c>
      <c r="J10" s="29">
        <f>interp2($A$6:$A$8,$B$5:$D$5,$B$6:$D$8,$F10,J$5)</f>
        <v>223.25</v>
      </c>
      <c r="K10" s="9">
        <f>interp2($A$6:$A$8,$B$5:$D$5,$B$6:$D$8,$F10,K$5)</f>
        <v>255</v>
      </c>
      <c r="L10" s="29">
        <f>interp2($A$6:$A$8,$B$5:$D$5,$B$6:$D$8,$F10,L$5)</f>
        <v>223.25</v>
      </c>
      <c r="M10" s="33">
        <f t="shared" si="2"/>
        <v>191.5</v>
      </c>
      <c r="N10" s="34">
        <f t="shared" si="3"/>
        <v>159.75</v>
      </c>
      <c r="O10" s="34">
        <f t="shared" si="3"/>
        <v>128</v>
      </c>
    </row>
    <row r="11" spans="1:15" ht="24" customHeight="1" x14ac:dyDescent="0.3">
      <c r="F11" s="36">
        <f t="shared" si="1"/>
        <v>2.25</v>
      </c>
      <c r="G11" s="15">
        <f>interp2($A$6:$A$8,$B$5:$D$5,$B$6:$D$8,$F11,G$5)</f>
        <v>96</v>
      </c>
      <c r="H11" s="13">
        <f>interp2($A$6:$A$8,$B$5:$D$5,$B$6:$D$8,$F11,H$5)</f>
        <v>127.8125</v>
      </c>
      <c r="I11" s="22">
        <f>interp2($A$6:$A$8,$B$5:$D$5,$B$6:$D$8,$F11,I$5)</f>
        <v>159.625</v>
      </c>
      <c r="J11" s="27">
        <f>interp2($A$6:$A$8,$B$5:$D$5,$B$6:$D$8,$F11,J$5)</f>
        <v>191.4375</v>
      </c>
      <c r="K11" s="34">
        <f>interp2($A$6:$A$8,$B$5:$D$5,$B$6:$D$8,$F11,K$5)</f>
        <v>223.25</v>
      </c>
      <c r="L11" s="28">
        <f>interp2($A$6:$A$8,$B$5:$D$5,$B$6:$D$8,$F11,L$5)</f>
        <v>191.4375</v>
      </c>
      <c r="M11" s="33">
        <f t="shared" si="2"/>
        <v>159.625</v>
      </c>
      <c r="N11" s="34">
        <f t="shared" si="3"/>
        <v>127.8125</v>
      </c>
      <c r="O11" s="34">
        <f t="shared" si="3"/>
        <v>96</v>
      </c>
    </row>
    <row r="12" spans="1:15" ht="24" customHeight="1" x14ac:dyDescent="0.3">
      <c r="F12" s="36">
        <f t="shared" si="1"/>
        <v>2.5</v>
      </c>
      <c r="G12" s="16">
        <f>interp2($A$6:$A$8,$B$5:$D$5,$B$6:$D$8,$F12,G$5)</f>
        <v>64</v>
      </c>
      <c r="H12" s="14">
        <f>interp2($A$6:$A$8,$B$5:$D$5,$B$6:$D$8,$F12,H$5)</f>
        <v>95.875</v>
      </c>
      <c r="I12" s="6">
        <f>interp2($A$6:$A$8,$B$5:$D$5,$B$6:$D$8,$F12,I$5)</f>
        <v>127.75</v>
      </c>
      <c r="J12" s="30">
        <f>interp2($A$6:$A$8,$B$5:$D$5,$B$6:$D$8,$F12,J$5)</f>
        <v>159.625</v>
      </c>
      <c r="K12" s="33">
        <f>interp2($A$6:$A$8,$B$5:$D$5,$B$6:$D$8,$F12,K$5)</f>
        <v>191.5</v>
      </c>
      <c r="L12" s="27">
        <f>interp2($A$6:$A$8,$B$5:$D$5,$B$6:$D$8,$F12,L$5)</f>
        <v>159.625</v>
      </c>
      <c r="M12" s="33">
        <f t="shared" si="2"/>
        <v>127.75</v>
      </c>
      <c r="N12" s="34">
        <f t="shared" si="3"/>
        <v>95.875</v>
      </c>
      <c r="O12" s="34">
        <f t="shared" si="3"/>
        <v>64</v>
      </c>
    </row>
    <row r="13" spans="1:15" ht="24" customHeight="1" x14ac:dyDescent="0.3">
      <c r="F13" s="36">
        <f t="shared" si="1"/>
        <v>2.75</v>
      </c>
      <c r="G13" s="17">
        <f>interp2($A$6:$A$8,$B$5:$D$5,$B$6:$D$8,$F13,G$5)</f>
        <v>32</v>
      </c>
      <c r="H13" s="10">
        <f>interp2($A$6:$A$8,$B$5:$D$5,$B$6:$D$8,$F13,H$5)</f>
        <v>63.9375</v>
      </c>
      <c r="I13" s="23">
        <f>interp2($A$6:$A$8,$B$5:$D$5,$B$6:$D$8,$F13,I$5)</f>
        <v>95.875</v>
      </c>
      <c r="J13" s="11">
        <f>interp2($A$6:$A$8,$B$5:$D$5,$B$6:$D$8,$F13,J$5)</f>
        <v>127.8125</v>
      </c>
      <c r="K13" s="32">
        <f>interp2($A$6:$A$8,$B$5:$D$5,$B$6:$D$8,$F13,K$5)</f>
        <v>159.75</v>
      </c>
      <c r="L13" s="26">
        <f>interp2($A$6:$A$8,$B$5:$D$5,$B$6:$D$8,$F13,L$5)</f>
        <v>127.8125</v>
      </c>
      <c r="M13" s="33">
        <f t="shared" si="2"/>
        <v>95.875</v>
      </c>
      <c r="N13" s="34">
        <f t="shared" si="3"/>
        <v>63.9375</v>
      </c>
      <c r="O13" s="34">
        <f t="shared" si="3"/>
        <v>32</v>
      </c>
    </row>
    <row r="14" spans="1:15" ht="24" customHeight="1" x14ac:dyDescent="0.3">
      <c r="F14" s="39">
        <v>3</v>
      </c>
      <c r="G14" s="5">
        <f>interp2($A$6:$A$8,$B$5:$D$5,$B$6:$D$8,$F14,G$5)</f>
        <v>0</v>
      </c>
      <c r="H14" s="15">
        <f>interp2($A$6:$A$8,$B$5:$D$5,$B$6:$D$8,$F14,H$5)</f>
        <v>32</v>
      </c>
      <c r="I14" s="24">
        <f>interp2($A$6:$A$8,$B$5:$D$5,$B$6:$D$8,$F14,I$5)</f>
        <v>64</v>
      </c>
      <c r="J14" s="31">
        <f>interp2($A$6:$A$8,$B$5:$D$5,$B$6:$D$8,$F14,J$5)</f>
        <v>96</v>
      </c>
      <c r="K14" s="8">
        <f>interp2($A$6:$A$8,$B$5:$D$5,$B$6:$D$8,$F14,K$5)</f>
        <v>128</v>
      </c>
      <c r="L14" s="25">
        <f>interp2($A$6:$A$8,$B$5:$D$5,$B$6:$D$8,$F14,L$5)</f>
        <v>96</v>
      </c>
      <c r="M14" s="33">
        <f t="shared" si="2"/>
        <v>64</v>
      </c>
      <c r="N14" s="34">
        <f t="shared" si="3"/>
        <v>32</v>
      </c>
      <c r="O14" s="34">
        <f t="shared" si="3"/>
        <v>0</v>
      </c>
    </row>
  </sheetData>
  <conditionalFormatting sqref="B6:D8 G6:O14">
    <cfRule type="expression" dxfId="1" priority="1">
      <formula>B6&lt;=128</formula>
    </cfRule>
    <cfRule type="expression" dxfId="0" priority="2">
      <formula>B6&gt;128</formula>
    </cfRule>
    <cfRule type="colorScale" priority="3">
      <colorScale>
        <cfvo type="num" val="0"/>
        <cfvo type="num" val="128"/>
        <cfvo type="num" val="255"/>
        <color theme="1"/>
        <color theme="0" tint="-0.499984740745262"/>
        <color theme="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Linear Interpolation Example</vt:lpstr>
      <vt:lpstr>Bilinear Interpolation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Goldstein</dc:creator>
  <cp:lastModifiedBy>Carla Goldstein</cp:lastModifiedBy>
  <dcterms:created xsi:type="dcterms:W3CDTF">2017-09-11T15:54:28Z</dcterms:created>
  <dcterms:modified xsi:type="dcterms:W3CDTF">2017-09-11T17:42:46Z</dcterms:modified>
</cp:coreProperties>
</file>